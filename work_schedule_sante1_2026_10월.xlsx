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勤休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&quot;年&quot;"/>
    <numFmt numFmtId="165" formatCode="0&quot;月&quot;"/>
    <numFmt numFmtId="166" formatCode="d"/>
    <numFmt numFmtId="167" formatCode="HH:mm"/>
    <numFmt numFmtId="168" formatCode="[h]:mm"/>
    <numFmt numFmtId="169" formatCode="0.00&quot;時間&quot;"/>
  </numFmts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0000"/>
    </font>
    <font>
      <b val="1"/>
      <sz val="10"/>
    </font>
    <font>
      <sz val="8"/>
    </font>
    <font>
      <name val="MS PGothic"/>
      <color rgb="00000000"/>
      <sz val="11"/>
    </font>
    <font>
      <name val="MS PGothic"/>
      <b val="1"/>
      <color rgb="00000000"/>
      <sz val="18"/>
    </font>
    <font>
      <name val="MS PGothic"/>
      <b val="1"/>
      <color rgb="00000000"/>
      <sz val="12"/>
    </font>
    <font>
      <name val="MS PGothic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BFBFBF"/>
        <bgColor rgb="00BFBFB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9" fillId="2" borderId="0" applyAlignment="1" pivotButton="0" quotePrefix="0" xfId="0">
      <alignment horizontal="center" vertical="center"/>
    </xf>
    <xf numFmtId="0" fontId="7" fillId="2" borderId="0" pivotButton="0" quotePrefix="0" xfId="0"/>
    <xf numFmtId="165" fontId="9" fillId="2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left" vertical="bottom"/>
    </xf>
    <xf numFmtId="0" fontId="7" fillId="3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7" fillId="0" borderId="2" pivotButton="0" quotePrefix="0" xfId="0"/>
    <xf numFmtId="168" fontId="7" fillId="2" borderId="1" applyAlignment="1" pivotButton="0" quotePrefix="0" xfId="0">
      <alignment horizontal="center" vertical="center"/>
    </xf>
    <xf numFmtId="169" fontId="7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8" customWidth="1" min="8" max="8"/>
    <col width="27" customWidth="1" min="9" max="9"/>
  </cols>
  <sheetData>
    <row r="1" ht="41.25" customHeight="1">
      <c r="A1" s="1" t="inlineStr">
        <is>
          <t>勤 休 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1.75" customHeight="1">
      <c r="A2" s="3" t="n">
        <v>2026</v>
      </c>
      <c r="B2" s="4" t="n"/>
      <c r="C2" s="5" t="n">
        <v>10</v>
      </c>
      <c r="D2" s="2" t="n"/>
      <c r="E2" s="2" t="n"/>
      <c r="F2" s="2" t="n"/>
      <c r="G2" s="2" t="n"/>
      <c r="H2" s="2" t="n"/>
      <c r="I2" s="2" t="n"/>
    </row>
    <row r="3" ht="7.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.5" customHeight="1">
      <c r="A4" s="6" t="inlineStr">
        <is>
          <t>会社名：</t>
        </is>
      </c>
      <c r="B4" s="6" t="n"/>
      <c r="C4" s="7" t="inlineStr">
        <is>
          <t>planit</t>
        </is>
      </c>
      <c r="D4" s="4" t="n"/>
      <c r="E4" s="4" t="n"/>
      <c r="F4" s="2" t="n"/>
      <c r="G4" s="2" t="n"/>
      <c r="H4" s="6" t="inlineStr">
        <is>
          <t>作業者名：</t>
        </is>
      </c>
      <c r="I4" s="7" t="inlineStr">
        <is>
          <t>sante1</t>
        </is>
      </c>
    </row>
    <row r="5" ht="9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18" customHeight="1">
      <c r="A6" s="8" t="inlineStr">
        <is>
          <t>日</t>
        </is>
      </c>
      <c r="B6" s="8" t="inlineStr">
        <is>
          <t>曜</t>
        </is>
      </c>
      <c r="C6" s="8" t="inlineStr">
        <is>
          <t>出社
休日</t>
        </is>
      </c>
      <c r="D6" s="8" t="inlineStr">
        <is>
          <t>作業</t>
        </is>
      </c>
      <c r="E6" s="8" t="n"/>
      <c r="F6" s="8" t="inlineStr">
        <is>
          <t>休憩
時間</t>
        </is>
      </c>
      <c r="G6" s="8" t="inlineStr">
        <is>
          <t>実作業
時間</t>
        </is>
      </c>
      <c r="H6" s="8" t="inlineStr">
        <is>
          <t>出張先</t>
        </is>
      </c>
      <c r="I6" s="8" t="inlineStr">
        <is>
          <t>備考</t>
        </is>
      </c>
    </row>
    <row r="7" ht="18" customHeight="1">
      <c r="A7" s="8" t="n"/>
      <c r="B7" s="8" t="n"/>
      <c r="C7" s="8" t="n"/>
      <c r="D7" s="8" t="inlineStr">
        <is>
          <t>開始時間</t>
        </is>
      </c>
      <c r="E7" s="8" t="inlineStr">
        <is>
          <t>終了時刻</t>
        </is>
      </c>
      <c r="F7" s="8" t="n"/>
      <c r="G7" s="8" t="n"/>
      <c r="H7" s="8" t="n"/>
      <c r="I7" s="8" t="n"/>
    </row>
    <row r="8" ht="18" customHeight="1">
      <c r="A8" s="9">
        <f>DATE($A$2,$C$2,1)</f>
        <v/>
      </c>
      <c r="B8" s="10">
        <f>TEXT(A8,"aaa")</f>
        <v/>
      </c>
      <c r="C8" s="11" t="inlineStr">
        <is>
          <t>出社</t>
        </is>
      </c>
      <c r="D8" s="12" t="n">
        <v>0.375</v>
      </c>
      <c r="E8" s="12" t="n">
        <v>0.75</v>
      </c>
      <c r="F8" s="12" t="n">
        <v>0.04166666666666666</v>
      </c>
      <c r="G8" s="12">
        <f>MOD(E8-D8,1)-F8</f>
        <v/>
      </c>
      <c r="H8" s="13" t="inlineStr"/>
      <c r="I8" s="13" t="inlineStr"/>
    </row>
    <row r="9" ht="18" customHeight="1">
      <c r="A9" s="9">
        <f>DATE($A$2,$C$2,2)</f>
        <v/>
      </c>
      <c r="B9" s="10">
        <f>TEXT(A9,"aaa")</f>
        <v/>
      </c>
      <c r="C9" s="11" t="inlineStr">
        <is>
          <t>出社</t>
        </is>
      </c>
      <c r="D9" s="12" t="n">
        <v>0.375</v>
      </c>
      <c r="E9" s="12" t="n">
        <v>0.75</v>
      </c>
      <c r="F9" s="12" t="n">
        <v>0.04166666666666666</v>
      </c>
      <c r="G9" s="12">
        <f>MOD(E9-D9,1)-F9</f>
        <v/>
      </c>
      <c r="H9" s="13" t="inlineStr"/>
      <c r="I9" s="13" t="inlineStr"/>
    </row>
    <row r="10" ht="18" customHeight="1">
      <c r="A10" s="9">
        <f>DATE($A$2,$C$2,3)</f>
        <v/>
      </c>
      <c r="B10" s="14">
        <f>TEXT(A10,"aaa")</f>
        <v/>
      </c>
      <c r="C10" s="15" t="inlineStr">
        <is>
          <t>休日</t>
        </is>
      </c>
      <c r="D10" s="13" t="inlineStr"/>
      <c r="E10" s="13" t="inlineStr"/>
      <c r="F10" s="13" t="inlineStr"/>
      <c r="G10" s="12">
        <f>MOD(E10-D10,1)-F10</f>
        <v/>
      </c>
      <c r="H10" s="13" t="inlineStr"/>
      <c r="I10" s="13" t="inlineStr"/>
    </row>
    <row r="11" ht="18" customHeight="1">
      <c r="A11" s="9">
        <f>DATE($A$2,$C$2,4)</f>
        <v/>
      </c>
      <c r="B11" s="14">
        <f>TEXT(A11,"aaa")</f>
        <v/>
      </c>
      <c r="C11" s="15" t="inlineStr">
        <is>
          <t>休日</t>
        </is>
      </c>
      <c r="D11" s="13" t="inlineStr"/>
      <c r="E11" s="13" t="inlineStr"/>
      <c r="F11" s="13" t="inlineStr"/>
      <c r="G11" s="12">
        <f>MOD(E11-D11,1)-F11</f>
        <v/>
      </c>
      <c r="H11" s="13" t="inlineStr"/>
      <c r="I11" s="13" t="inlineStr"/>
    </row>
    <row r="12" ht="18" customHeight="1">
      <c r="A12" s="9">
        <f>DATE($A$2,$C$2,5)</f>
        <v/>
      </c>
      <c r="B12" s="10">
        <f>TEXT(A12,"aaa")</f>
        <v/>
      </c>
      <c r="C12" s="11" t="inlineStr">
        <is>
          <t>出社</t>
        </is>
      </c>
      <c r="D12" s="12" t="n">
        <v>0.375</v>
      </c>
      <c r="E12" s="12" t="n">
        <v>0.75</v>
      </c>
      <c r="F12" s="12" t="n">
        <v>0.04166666666666666</v>
      </c>
      <c r="G12" s="12">
        <f>MOD(E12-D12,1)-F12</f>
        <v/>
      </c>
      <c r="H12" s="13" t="inlineStr"/>
      <c r="I12" s="13" t="inlineStr"/>
    </row>
    <row r="13" ht="18" customHeight="1">
      <c r="A13" s="9">
        <f>DATE($A$2,$C$2,6)</f>
        <v/>
      </c>
      <c r="B13" s="10">
        <f>TEXT(A13,"aaa")</f>
        <v/>
      </c>
      <c r="C13" s="11" t="inlineStr">
        <is>
          <t>出社</t>
        </is>
      </c>
      <c r="D13" s="12" t="n">
        <v>0.375</v>
      </c>
      <c r="E13" s="12" t="n">
        <v>0.75</v>
      </c>
      <c r="F13" s="12" t="n">
        <v>0.04166666666666666</v>
      </c>
      <c r="G13" s="12">
        <f>MOD(E13-D13,1)-F13</f>
        <v/>
      </c>
      <c r="H13" s="13" t="inlineStr"/>
      <c r="I13" s="13" t="inlineStr"/>
    </row>
    <row r="14" ht="18" customHeight="1">
      <c r="A14" s="9">
        <f>DATE($A$2,$C$2,7)</f>
        <v/>
      </c>
      <c r="B14" s="10">
        <f>TEXT(A14,"aaa")</f>
        <v/>
      </c>
      <c r="C14" s="11" t="inlineStr">
        <is>
          <t>出社</t>
        </is>
      </c>
      <c r="D14" s="12" t="n">
        <v>0.375</v>
      </c>
      <c r="E14" s="12" t="n">
        <v>0.75</v>
      </c>
      <c r="F14" s="12" t="n">
        <v>0.04166666666666666</v>
      </c>
      <c r="G14" s="12">
        <f>MOD(E14-D14,1)-F14</f>
        <v/>
      </c>
      <c r="H14" s="13" t="inlineStr"/>
      <c r="I14" s="13" t="inlineStr"/>
    </row>
    <row r="15" ht="18" customHeight="1">
      <c r="A15" s="9">
        <f>DATE($A$2,$C$2,8)</f>
        <v/>
      </c>
      <c r="B15" s="10">
        <f>TEXT(A15,"aaa")</f>
        <v/>
      </c>
      <c r="C15" s="11" t="inlineStr">
        <is>
          <t>出社</t>
        </is>
      </c>
      <c r="D15" s="12" t="n">
        <v>0.375</v>
      </c>
      <c r="E15" s="12" t="n">
        <v>0.75</v>
      </c>
      <c r="F15" s="12" t="n">
        <v>0.04166666666666666</v>
      </c>
      <c r="G15" s="12">
        <f>MOD(E15-D15,1)-F15</f>
        <v/>
      </c>
      <c r="H15" s="13" t="inlineStr"/>
      <c r="I15" s="13" t="inlineStr"/>
    </row>
    <row r="16" ht="18" customHeight="1">
      <c r="A16" s="9">
        <f>DATE($A$2,$C$2,9)</f>
        <v/>
      </c>
      <c r="B16" s="10">
        <f>TEXT(A16,"aaa")</f>
        <v/>
      </c>
      <c r="C16" s="11" t="inlineStr">
        <is>
          <t>出社</t>
        </is>
      </c>
      <c r="D16" s="12" t="n">
        <v>0.375</v>
      </c>
      <c r="E16" s="12" t="n">
        <v>0.75</v>
      </c>
      <c r="F16" s="12" t="n">
        <v>0.04166666666666666</v>
      </c>
      <c r="G16" s="12">
        <f>MOD(E16-D16,1)-F16</f>
        <v/>
      </c>
      <c r="H16" s="13" t="inlineStr"/>
      <c r="I16" s="13" t="inlineStr"/>
    </row>
    <row r="17" ht="18" customHeight="1">
      <c r="A17" s="9">
        <f>DATE($A$2,$C$2,10)</f>
        <v/>
      </c>
      <c r="B17" s="14">
        <f>TEXT(A17,"aaa")</f>
        <v/>
      </c>
      <c r="C17" s="15" t="inlineStr">
        <is>
          <t>休日</t>
        </is>
      </c>
      <c r="D17" s="13" t="inlineStr"/>
      <c r="E17" s="13" t="inlineStr"/>
      <c r="F17" s="13" t="inlineStr"/>
      <c r="G17" s="12">
        <f>MOD(E17-D17,1)-F17</f>
        <v/>
      </c>
      <c r="H17" s="13" t="inlineStr"/>
      <c r="I17" s="13" t="inlineStr"/>
    </row>
    <row r="18" ht="18" customHeight="1">
      <c r="A18" s="9">
        <f>DATE($A$2,$C$2,11)</f>
        <v/>
      </c>
      <c r="B18" s="14">
        <f>TEXT(A18,"aaa")</f>
        <v/>
      </c>
      <c r="C18" s="15" t="inlineStr">
        <is>
          <t>休日</t>
        </is>
      </c>
      <c r="D18" s="13" t="inlineStr"/>
      <c r="E18" s="13" t="inlineStr"/>
      <c r="F18" s="13" t="inlineStr"/>
      <c r="G18" s="12">
        <f>MOD(E18-D18,1)-F18</f>
        <v/>
      </c>
      <c r="H18" s="13" t="inlineStr"/>
      <c r="I18" s="13" t="inlineStr"/>
    </row>
    <row r="19" ht="18" customHeight="1">
      <c r="A19" s="9">
        <f>DATE($A$2,$C$2,12)</f>
        <v/>
      </c>
      <c r="B19" s="10">
        <f>TEXT(A19,"aaa")</f>
        <v/>
      </c>
      <c r="C19" s="11" t="inlineStr">
        <is>
          <t>出社</t>
        </is>
      </c>
      <c r="D19" s="12" t="n">
        <v>0.375</v>
      </c>
      <c r="E19" s="12" t="n">
        <v>0.75</v>
      </c>
      <c r="F19" s="12" t="n">
        <v>0.04166666666666666</v>
      </c>
      <c r="G19" s="12">
        <f>MOD(E19-D19,1)-F19</f>
        <v/>
      </c>
      <c r="H19" s="13" t="inlineStr"/>
      <c r="I19" s="13" t="inlineStr"/>
    </row>
    <row r="20" ht="18" customHeight="1">
      <c r="A20" s="9">
        <f>DATE($A$2,$C$2,13)</f>
        <v/>
      </c>
      <c r="B20" s="10">
        <f>TEXT(A20,"aaa")</f>
        <v/>
      </c>
      <c r="C20" s="11" t="inlineStr">
        <is>
          <t>出社</t>
        </is>
      </c>
      <c r="D20" s="12" t="n">
        <v>0.375</v>
      </c>
      <c r="E20" s="12" t="n">
        <v>0.75</v>
      </c>
      <c r="F20" s="12" t="n">
        <v>0.04166666666666666</v>
      </c>
      <c r="G20" s="12">
        <f>MOD(E20-D20,1)-F20</f>
        <v/>
      </c>
      <c r="H20" s="13" t="inlineStr"/>
      <c r="I20" s="13" t="inlineStr"/>
    </row>
    <row r="21" ht="18" customHeight="1">
      <c r="A21" s="9">
        <f>DATE($A$2,$C$2,14)</f>
        <v/>
      </c>
      <c r="B21" s="10">
        <f>TEXT(A21,"aaa")</f>
        <v/>
      </c>
      <c r="C21" s="11" t="inlineStr">
        <is>
          <t>出社</t>
        </is>
      </c>
      <c r="D21" s="12" t="n">
        <v>0.375</v>
      </c>
      <c r="E21" s="12" t="n">
        <v>0.75</v>
      </c>
      <c r="F21" s="12" t="n">
        <v>0.04166666666666666</v>
      </c>
      <c r="G21" s="12">
        <f>MOD(E21-D21,1)-F21</f>
        <v/>
      </c>
      <c r="H21" s="13" t="inlineStr"/>
      <c r="I21" s="13" t="inlineStr"/>
    </row>
    <row r="22" ht="18" customHeight="1">
      <c r="A22" s="9">
        <f>DATE($A$2,$C$2,15)</f>
        <v/>
      </c>
      <c r="B22" s="10">
        <f>TEXT(A22,"aaa")</f>
        <v/>
      </c>
      <c r="C22" s="11" t="inlineStr">
        <is>
          <t>出社</t>
        </is>
      </c>
      <c r="D22" s="12" t="n">
        <v>0.375</v>
      </c>
      <c r="E22" s="12" t="n">
        <v>0.75</v>
      </c>
      <c r="F22" s="12" t="n">
        <v>0.04166666666666666</v>
      </c>
      <c r="G22" s="12">
        <f>MOD(E22-D22,1)-F22</f>
        <v/>
      </c>
      <c r="H22" s="13" t="inlineStr"/>
      <c r="I22" s="13" t="inlineStr"/>
    </row>
    <row r="23" ht="18" customHeight="1">
      <c r="A23" s="9">
        <f>DATE($A$2,$C$2,16)</f>
        <v/>
      </c>
      <c r="B23" s="10">
        <f>TEXT(A23,"aaa")</f>
        <v/>
      </c>
      <c r="C23" s="11" t="inlineStr">
        <is>
          <t>出社</t>
        </is>
      </c>
      <c r="D23" s="12" t="n">
        <v>0.375</v>
      </c>
      <c r="E23" s="12" t="n">
        <v>0.75</v>
      </c>
      <c r="F23" s="12" t="n">
        <v>0.04166666666666666</v>
      </c>
      <c r="G23" s="12">
        <f>MOD(E23-D23,1)-F23</f>
        <v/>
      </c>
      <c r="H23" s="13" t="inlineStr"/>
      <c r="I23" s="13" t="inlineStr"/>
    </row>
    <row r="24" ht="18" customHeight="1">
      <c r="A24" s="9">
        <f>DATE($A$2,$C$2,17)</f>
        <v/>
      </c>
      <c r="B24" s="14">
        <f>TEXT(A24,"aaa")</f>
        <v/>
      </c>
      <c r="C24" s="15" t="inlineStr">
        <is>
          <t>休日</t>
        </is>
      </c>
      <c r="D24" s="13" t="inlineStr"/>
      <c r="E24" s="13" t="inlineStr"/>
      <c r="F24" s="13" t="inlineStr"/>
      <c r="G24" s="12">
        <f>MOD(E24-D24,1)-F24</f>
        <v/>
      </c>
      <c r="H24" s="13" t="inlineStr"/>
      <c r="I24" s="13" t="inlineStr"/>
    </row>
    <row r="25" ht="18" customHeight="1">
      <c r="A25" s="9">
        <f>DATE($A$2,$C$2,18)</f>
        <v/>
      </c>
      <c r="B25" s="14">
        <f>TEXT(A25,"aaa")</f>
        <v/>
      </c>
      <c r="C25" s="15" t="inlineStr">
        <is>
          <t>休日</t>
        </is>
      </c>
      <c r="D25" s="13" t="inlineStr"/>
      <c r="E25" s="13" t="inlineStr"/>
      <c r="F25" s="13" t="inlineStr"/>
      <c r="G25" s="12">
        <f>MOD(E25-D25,1)-F25</f>
        <v/>
      </c>
      <c r="H25" s="13" t="inlineStr"/>
      <c r="I25" s="13" t="inlineStr"/>
    </row>
    <row r="26" ht="18" customHeight="1">
      <c r="A26" s="9">
        <f>DATE($A$2,$C$2,19)</f>
        <v/>
      </c>
      <c r="B26" s="10">
        <f>TEXT(A26,"aaa")</f>
        <v/>
      </c>
      <c r="C26" s="11" t="inlineStr">
        <is>
          <t>出社</t>
        </is>
      </c>
      <c r="D26" s="12" t="n">
        <v>0.375</v>
      </c>
      <c r="E26" s="12" t="n">
        <v>0.75</v>
      </c>
      <c r="F26" s="12" t="n">
        <v>0.04166666666666666</v>
      </c>
      <c r="G26" s="12">
        <f>MOD(E26-D26,1)-F26</f>
        <v/>
      </c>
      <c r="H26" s="13" t="inlineStr"/>
      <c r="I26" s="13" t="inlineStr"/>
    </row>
    <row r="27" ht="18" customHeight="1">
      <c r="A27" s="9">
        <f>DATE($A$2,$C$2,20)</f>
        <v/>
      </c>
      <c r="B27" s="10">
        <f>TEXT(A27,"aaa")</f>
        <v/>
      </c>
      <c r="C27" s="11" t="inlineStr">
        <is>
          <t>出社</t>
        </is>
      </c>
      <c r="D27" s="12" t="n">
        <v>0.375</v>
      </c>
      <c r="E27" s="12" t="n">
        <v>0.75</v>
      </c>
      <c r="F27" s="12" t="n">
        <v>0.04166666666666666</v>
      </c>
      <c r="G27" s="12">
        <f>MOD(E27-D27,1)-F27</f>
        <v/>
      </c>
      <c r="H27" s="13" t="inlineStr"/>
      <c r="I27" s="13" t="inlineStr"/>
    </row>
    <row r="28" ht="18" customHeight="1">
      <c r="A28" s="9">
        <f>DATE($A$2,$C$2,21)</f>
        <v/>
      </c>
      <c r="B28" s="10">
        <f>TEXT(A28,"aaa")</f>
        <v/>
      </c>
      <c r="C28" s="11" t="inlineStr">
        <is>
          <t>出社</t>
        </is>
      </c>
      <c r="D28" s="12" t="n">
        <v>0.375</v>
      </c>
      <c r="E28" s="12" t="n">
        <v>0.75</v>
      </c>
      <c r="F28" s="12" t="n">
        <v>0.04166666666666666</v>
      </c>
      <c r="G28" s="12">
        <f>MOD(E28-D28,1)-F28</f>
        <v/>
      </c>
      <c r="H28" s="13" t="inlineStr"/>
      <c r="I28" s="13" t="inlineStr"/>
    </row>
    <row r="29" ht="18" customHeight="1">
      <c r="A29" s="9">
        <f>DATE($A$2,$C$2,22)</f>
        <v/>
      </c>
      <c r="B29" s="10">
        <f>TEXT(A29,"aaa")</f>
        <v/>
      </c>
      <c r="C29" s="11" t="inlineStr">
        <is>
          <t>出社</t>
        </is>
      </c>
      <c r="D29" s="12" t="n">
        <v>0.375</v>
      </c>
      <c r="E29" s="12" t="n">
        <v>0.75</v>
      </c>
      <c r="F29" s="12" t="n">
        <v>0.04166666666666666</v>
      </c>
      <c r="G29" s="12">
        <f>MOD(E29-D29,1)-F29</f>
        <v/>
      </c>
      <c r="H29" s="13" t="inlineStr"/>
      <c r="I29" s="13" t="inlineStr"/>
    </row>
    <row r="30" ht="18" customHeight="1">
      <c r="A30" s="9">
        <f>DATE($A$2,$C$2,23)</f>
        <v/>
      </c>
      <c r="B30" s="10">
        <f>TEXT(A30,"aaa")</f>
        <v/>
      </c>
      <c r="C30" s="11" t="inlineStr">
        <is>
          <t>出社</t>
        </is>
      </c>
      <c r="D30" s="12" t="n">
        <v>0.375</v>
      </c>
      <c r="E30" s="12" t="n">
        <v>0.75</v>
      </c>
      <c r="F30" s="12" t="n">
        <v>0.04166666666666666</v>
      </c>
      <c r="G30" s="12">
        <f>MOD(E30-D30,1)-F30</f>
        <v/>
      </c>
      <c r="H30" s="13" t="inlineStr"/>
      <c r="I30" s="13" t="inlineStr"/>
    </row>
    <row r="31" ht="18" customHeight="1">
      <c r="A31" s="9">
        <f>DATE($A$2,$C$2,24)</f>
        <v/>
      </c>
      <c r="B31" s="14">
        <f>TEXT(A31,"aaa")</f>
        <v/>
      </c>
      <c r="C31" s="15" t="inlineStr">
        <is>
          <t>休日</t>
        </is>
      </c>
      <c r="D31" s="13" t="inlineStr"/>
      <c r="E31" s="13" t="inlineStr"/>
      <c r="F31" s="13" t="inlineStr"/>
      <c r="G31" s="12">
        <f>MOD(E31-D31,1)-F31</f>
        <v/>
      </c>
      <c r="H31" s="13" t="inlineStr"/>
      <c r="I31" s="13" t="inlineStr"/>
    </row>
    <row r="32" ht="18" customHeight="1">
      <c r="A32" s="9">
        <f>DATE($A$2,$C$2,25)</f>
        <v/>
      </c>
      <c r="B32" s="14">
        <f>TEXT(A32,"aaa")</f>
        <v/>
      </c>
      <c r="C32" s="15" t="inlineStr">
        <is>
          <t>休日</t>
        </is>
      </c>
      <c r="D32" s="13" t="inlineStr"/>
      <c r="E32" s="13" t="inlineStr"/>
      <c r="F32" s="13" t="inlineStr"/>
      <c r="G32" s="12">
        <f>MOD(E32-D32,1)-F32</f>
        <v/>
      </c>
      <c r="H32" s="13" t="inlineStr"/>
      <c r="I32" s="13" t="inlineStr"/>
    </row>
    <row r="33" ht="18" customHeight="1">
      <c r="A33" s="9">
        <f>DATE($A$2,$C$2,26)</f>
        <v/>
      </c>
      <c r="B33" s="10">
        <f>TEXT(A33,"aaa")</f>
        <v/>
      </c>
      <c r="C33" s="11" t="inlineStr">
        <is>
          <t>出社</t>
        </is>
      </c>
      <c r="D33" s="12" t="n">
        <v>0.375</v>
      </c>
      <c r="E33" s="12" t="n">
        <v>0.75</v>
      </c>
      <c r="F33" s="12" t="n">
        <v>0.04166666666666666</v>
      </c>
      <c r="G33" s="12">
        <f>MOD(E33-D33,1)-F33</f>
        <v/>
      </c>
      <c r="H33" s="13" t="inlineStr"/>
      <c r="I33" s="13" t="inlineStr"/>
    </row>
    <row r="34" ht="18" customHeight="1">
      <c r="A34" s="9">
        <f>DATE($A$2,$C$2,27)</f>
        <v/>
      </c>
      <c r="B34" s="10">
        <f>TEXT(A34,"aaa")</f>
        <v/>
      </c>
      <c r="C34" s="11" t="inlineStr">
        <is>
          <t>出社</t>
        </is>
      </c>
      <c r="D34" s="12" t="n">
        <v>0.375</v>
      </c>
      <c r="E34" s="12" t="n">
        <v>0.75</v>
      </c>
      <c r="F34" s="12" t="n">
        <v>0.04166666666666666</v>
      </c>
      <c r="G34" s="12">
        <f>MOD(E34-D34,1)-F34</f>
        <v/>
      </c>
      <c r="H34" s="13" t="inlineStr"/>
      <c r="I34" s="13" t="inlineStr"/>
    </row>
    <row r="35" ht="18" customHeight="1">
      <c r="A35" s="9">
        <f>DATE($A$2,$C$2,28)</f>
        <v/>
      </c>
      <c r="B35" s="10">
        <f>TEXT(A35,"aaa")</f>
        <v/>
      </c>
      <c r="C35" s="11" t="inlineStr">
        <is>
          <t>出社</t>
        </is>
      </c>
      <c r="D35" s="12" t="n">
        <v>0.375</v>
      </c>
      <c r="E35" s="12" t="n">
        <v>0.75</v>
      </c>
      <c r="F35" s="12" t="n">
        <v>0.04166666666666666</v>
      </c>
      <c r="G35" s="12">
        <f>MOD(E35-D35,1)-F35</f>
        <v/>
      </c>
      <c r="H35" s="13" t="inlineStr"/>
      <c r="I35" s="13" t="inlineStr"/>
    </row>
    <row r="36" ht="18" customHeight="1">
      <c r="A36" s="9">
        <f>DATE($A$2,$C$2,29)</f>
        <v/>
      </c>
      <c r="B36" s="10">
        <f>TEXT(A36,"aaa")</f>
        <v/>
      </c>
      <c r="C36" s="11" t="inlineStr">
        <is>
          <t>出社</t>
        </is>
      </c>
      <c r="D36" s="12" t="n">
        <v>0.375</v>
      </c>
      <c r="E36" s="12" t="n">
        <v>0.75</v>
      </c>
      <c r="F36" s="12" t="n">
        <v>0.04166666666666666</v>
      </c>
      <c r="G36" s="12">
        <f>MOD(E36-D36,1)-F36</f>
        <v/>
      </c>
      <c r="H36" s="13" t="inlineStr"/>
      <c r="I36" s="13" t="inlineStr"/>
    </row>
    <row r="37" ht="18" customHeight="1">
      <c r="A37" s="9">
        <f>DATE($A$2,$C$2,30)</f>
        <v/>
      </c>
      <c r="B37" s="10">
        <f>TEXT(A37,"aaa")</f>
        <v/>
      </c>
      <c r="C37" s="11" t="inlineStr">
        <is>
          <t>出社</t>
        </is>
      </c>
      <c r="D37" s="12" t="n">
        <v>0.375</v>
      </c>
      <c r="E37" s="12" t="n">
        <v>0.75</v>
      </c>
      <c r="F37" s="12" t="n">
        <v>0.04166666666666666</v>
      </c>
      <c r="G37" s="12">
        <f>MOD(E37-D37,1)-F37</f>
        <v/>
      </c>
      <c r="H37" s="13" t="inlineStr"/>
      <c r="I37" s="13" t="inlineStr"/>
    </row>
    <row r="38" ht="18" customHeight="1">
      <c r="A38" s="9">
        <f>DATE($A$2,$C$2,31)</f>
        <v/>
      </c>
      <c r="B38" s="14">
        <f>TEXT(A38,"aaa")</f>
        <v/>
      </c>
      <c r="C38" s="15" t="inlineStr">
        <is>
          <t>休日</t>
        </is>
      </c>
      <c r="D38" s="13" t="inlineStr"/>
      <c r="E38" s="13" t="inlineStr"/>
      <c r="F38" s="13" t="inlineStr"/>
      <c r="G38" s="12">
        <f>MOD(E38-D38,1)-F38</f>
        <v/>
      </c>
      <c r="H38" s="13" t="inlineStr"/>
      <c r="I38" s="13" t="inlineStr"/>
    </row>
    <row r="39" ht="18" customHeight="1">
      <c r="A39" s="16" t="n"/>
      <c r="B39" s="16" t="n"/>
      <c r="C39" s="16" t="n"/>
      <c r="D39" s="16" t="n"/>
      <c r="E39" s="16" t="n"/>
      <c r="F39" s="16" t="n"/>
      <c r="G39" s="17">
        <f>SUM(G8:G38)</f>
        <v/>
      </c>
      <c r="H39" s="18">
        <f>G39*24</f>
        <v/>
      </c>
      <c r="I39" s="10" t="n"/>
    </row>
    <row r="40" ht="1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10" t="inlineStr">
        <is>
          <t>NCC承認印</t>
        </is>
      </c>
    </row>
    <row r="42" ht="1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19" t="n"/>
    </row>
    <row r="43" ht="1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19" t="n"/>
    </row>
    <row r="44" ht="1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19" t="n"/>
    </row>
    <row r="45" ht="1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19" t="n"/>
    </row>
    <row r="46" ht="1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19" t="n"/>
    </row>
    <row r="47" ht="1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19" t="n"/>
    </row>
    <row r="48" ht="18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0" t="inlineStr">
        <is>
          <t>NCC-HC4-260701</t>
        </is>
      </c>
    </row>
  </sheetData>
  <mergeCells count="12">
    <mergeCell ref="A4:B4"/>
    <mergeCell ref="D6:E6"/>
    <mergeCell ref="C4:G4"/>
    <mergeCell ref="A2:B2"/>
    <mergeCell ref="A1:I1"/>
    <mergeCell ref="G6:G7"/>
    <mergeCell ref="H6:H7"/>
    <mergeCell ref="I6:I7"/>
    <mergeCell ref="C6:C7"/>
    <mergeCell ref="A6:A7"/>
    <mergeCell ref="B6:B7"/>
    <mergeCell ref="F6:F7"/>
  </mergeCells>
  <dataValidations count="1">
    <dataValidation sqref="C8:C38" showDropDown="0" showInputMessage="0" showErrorMessage="0" allowBlank="1" type="list">
      <formula1>"出社,休出,休日"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2026-09-27T12:05:29Z</dcterms:created>
  <dcterms:modified xsi:type="dcterms:W3CDTF">2026-09-27T12:05:29Z</dcterms:modified>
</cp:coreProperties>
</file>