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a.terazaki\Desktop\【業26001】NCC勤休表（BP向け）フォーマット変更について\【業26001】NCC勤休表（BP向け）フォーマット変更について\"/>
    </mc:Choice>
  </mc:AlternateContent>
  <xr:revisionPtr revIDLastSave="0" documentId="8_{B63CB932-0397-4BD2-9BF3-8EFEE4C645AC}" xr6:coauthVersionLast="47" xr6:coauthVersionMax="47" xr10:uidLastSave="{00000000-0000-0000-0000-000000000000}"/>
  <bookViews>
    <workbookView xWindow="8400" yWindow="504" windowWidth="16572" windowHeight="11604" xr2:uid="{CF5A9D18-D680-4B64-9DE2-D597F2FDDC09}"/>
  </bookViews>
  <sheets>
    <sheet name="勤休表（準委任）" sheetId="1" r:id="rId1"/>
  </sheets>
  <definedNames>
    <definedName name="_xlnm.Print_Area" localSheetId="0">'勤休表（準委任）'!$A$1:$I$48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  <c r="B38" i="1"/>
  <c r="G38" i="1"/>
  <c r="G10" i="1"/>
  <c r="G9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8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B35" i="1" s="1"/>
  <c r="A37" i="1" l="1"/>
  <c r="B37" i="1" s="1"/>
  <c r="G39" i="1"/>
  <c r="H39" i="1" s="1"/>
  <c r="A36" i="1"/>
  <c r="B36" i="1" s="1"/>
  <c r="B33" i="1"/>
  <c r="B9" i="1"/>
  <c r="B15" i="1"/>
  <c r="B21" i="1"/>
  <c r="B27" i="1"/>
  <c r="B10" i="1"/>
  <c r="B16" i="1"/>
  <c r="B22" i="1"/>
  <c r="B28" i="1"/>
  <c r="B34" i="1"/>
  <c r="B11" i="1"/>
  <c r="B17" i="1"/>
  <c r="B23" i="1"/>
  <c r="B29" i="1"/>
  <c r="B12" i="1"/>
  <c r="B18" i="1"/>
  <c r="B24" i="1"/>
  <c r="B30" i="1"/>
  <c r="B13" i="1"/>
  <c r="B19" i="1"/>
  <c r="B25" i="1"/>
  <c r="B31" i="1"/>
  <c r="B8" i="1"/>
  <c r="B14" i="1"/>
  <c r="B20" i="1"/>
  <c r="B26" i="1"/>
  <c r="B32" i="1"/>
</calcChain>
</file>

<file path=xl/sharedStrings.xml><?xml version="1.0" encoding="utf-8"?>
<sst xmlns="http://schemas.openxmlformats.org/spreadsheetml/2006/main" count="52" uniqueCount="23">
  <si>
    <t>勤　　休　　表</t>
    <rPh sb="0" eb="1">
      <t>ツトム</t>
    </rPh>
    <rPh sb="3" eb="4">
      <t>キュウ</t>
    </rPh>
    <rPh sb="6" eb="7">
      <t>ヒョウ</t>
    </rPh>
    <phoneticPr fontId="3"/>
  </si>
  <si>
    <t>会社名：</t>
    <rPh sb="0" eb="2">
      <t>カイシャ</t>
    </rPh>
    <rPh sb="2" eb="3">
      <t>ナ</t>
    </rPh>
    <phoneticPr fontId="3"/>
  </si>
  <si>
    <t>株式会社 PLANIT</t>
    <phoneticPr fontId="3"/>
  </si>
  <si>
    <t>作業者名：</t>
    <rPh sb="0" eb="3">
      <t>サギョウシャ</t>
    </rPh>
    <rPh sb="3" eb="4">
      <t>ナ</t>
    </rPh>
    <phoneticPr fontId="3"/>
  </si>
  <si>
    <t>安材訓</t>
  </si>
  <si>
    <t>日</t>
    <rPh sb="0" eb="1">
      <t>ヒ</t>
    </rPh>
    <phoneticPr fontId="3"/>
  </si>
  <si>
    <t>曜</t>
    <rPh sb="0" eb="1">
      <t>ヨウ</t>
    </rPh>
    <phoneticPr fontId="3"/>
  </si>
  <si>
    <t>出社</t>
    <rPh sb="0" eb="2">
      <t>シュッシャ</t>
    </rPh>
    <phoneticPr fontId="3"/>
  </si>
  <si>
    <t>作業</t>
    <rPh sb="0" eb="2">
      <t>サギョウ</t>
    </rPh>
    <phoneticPr fontId="3"/>
  </si>
  <si>
    <t>休憩
時間</t>
    <rPh sb="0" eb="2">
      <t>キュウケイ</t>
    </rPh>
    <rPh sb="3" eb="5">
      <t>ジカン</t>
    </rPh>
    <phoneticPr fontId="3"/>
  </si>
  <si>
    <t>実作業
時間</t>
    <rPh sb="0" eb="1">
      <t>ジツ</t>
    </rPh>
    <rPh sb="1" eb="3">
      <t>サギョウ</t>
    </rPh>
    <rPh sb="4" eb="6">
      <t>ジカン</t>
    </rPh>
    <phoneticPr fontId="3"/>
  </si>
  <si>
    <t>出張先</t>
  </si>
  <si>
    <t>備考</t>
  </si>
  <si>
    <t>休日</t>
    <rPh sb="0" eb="2">
      <t>キュウジツ</t>
    </rPh>
    <phoneticPr fontId="3"/>
  </si>
  <si>
    <t>開始時刻</t>
    <rPh sb="0" eb="2">
      <t>カイシ</t>
    </rPh>
    <rPh sb="2" eb="4">
      <t>ジコク</t>
    </rPh>
    <phoneticPr fontId="3"/>
  </si>
  <si>
    <t>終了時刻</t>
    <rPh sb="0" eb="2">
      <t>シュウリョウ</t>
    </rPh>
    <rPh sb="2" eb="4">
      <t>ジコク</t>
    </rPh>
    <phoneticPr fontId="3"/>
  </si>
  <si>
    <t>出社</t>
  </si>
  <si>
    <t>休日</t>
  </si>
  <si>
    <t>休出</t>
  </si>
  <si>
    <t>年休（使用）</t>
  </si>
  <si>
    <t>秋の大型連休</t>
  </si>
  <si>
    <t>NCC承認印</t>
    <rPh sb="3" eb="5">
      <t>ショウニン</t>
    </rPh>
    <rPh sb="5" eb="6">
      <t>イン</t>
    </rPh>
    <phoneticPr fontId="3"/>
  </si>
  <si>
    <t>NCC-HC4-260701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</si>
</sst>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_ "/>
    <numFmt numFmtId="177" formatCode="0.0_ "/>
    <numFmt numFmtId="178" formatCode="0.0_);[Red]\(0.0\)"/>
    <numFmt numFmtId="179" formatCode="0.00_);[Red]\(0.00\)"/>
    <numFmt numFmtId="180" formatCode="0.00_ "/>
    <numFmt numFmtId="181" formatCode="d"/>
    <numFmt numFmtId="182" formatCode="0&quot;年&quot;"/>
    <numFmt numFmtId="183" formatCode="0&quot;月&quot;"/>
    <numFmt numFmtId="184" formatCode="hh:mm"/>
    <numFmt numFmtId="185" formatCode="[hh]:mm;@"/>
    <numFmt numFmtId="186" formatCode="[hh]:mm"/>
    <numFmt numFmtId="187" formatCode="0.00&quot;時間&quot;"/>
  </numFmts>
  <fonts count="12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8"/>
      <name val="ＭＳ Ｐ明朝"/>
      <family val="1"/>
      <charset val="128"/>
    </font>
    <font>
      <sz val="14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color rgb="FFFF000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2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/>
  </cellStyleXfs>
  <cellXfs count="68">
    <xf numFmtId="0" fontId="0" fillId="0" borderId="0" xfId="0"/>
    <xf numFmtId="176" fontId="0" fillId="0" borderId="0" xfId="0" applyNumberFormat="1"/>
    <xf numFmtId="20" fontId="0" fillId="0" borderId="0" xfId="0" applyNumberFormat="1"/>
    <xf numFmtId="177" fontId="0" fillId="0" borderId="0" xfId="0" applyNumberFormat="1"/>
    <xf numFmtId="178" fontId="0" fillId="0" borderId="0" xfId="0" applyNumberFormat="1"/>
    <xf numFmtId="20" fontId="0" fillId="0" borderId="0" xfId="0" applyNumberFormat="1" applyAlignment="1">
      <alignment horizontal="center"/>
    </xf>
    <xf numFmtId="0" fontId="5" fillId="0" borderId="0" xfId="0" applyFont="1" applyAlignment="1">
      <alignment horizontal="right"/>
    </xf>
    <xf numFmtId="176" fontId="8" fillId="3" borderId="1" xfId="0" applyNumberFormat="1" applyFont="1" applyFill="1" applyBorder="1" applyAlignment="1">
      <alignment horizontal="center" vertical="center" shrinkToFit="1"/>
    </xf>
    <xf numFmtId="177" fontId="0" fillId="0" borderId="0" xfId="0" applyNumberFormat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0" fillId="0" borderId="13" xfId="0" applyBorder="1"/>
    <xf numFmtId="0" fontId="0" fillId="0" borderId="7" xfId="0" applyBorder="1"/>
    <xf numFmtId="176" fontId="8" fillId="3" borderId="7" xfId="0" applyNumberFormat="1" applyFont="1" applyFill="1" applyBorder="1" applyAlignment="1">
      <alignment horizontal="center" vertical="center" shrinkToFit="1"/>
    </xf>
    <xf numFmtId="184" fontId="10" fillId="3" borderId="1" xfId="0" applyNumberFormat="1" applyFont="1" applyFill="1" applyBorder="1" applyAlignment="1" applyProtection="1">
      <alignment vertical="center"/>
      <protection locked="0"/>
    </xf>
    <xf numFmtId="184" fontId="10" fillId="3" borderId="3" xfId="0" applyNumberFormat="1" applyFont="1" applyFill="1" applyBorder="1" applyAlignment="1" applyProtection="1">
      <alignment vertical="center"/>
      <protection locked="0"/>
    </xf>
    <xf numFmtId="20" fontId="9" fillId="0" borderId="0" xfId="0" applyNumberFormat="1" applyFont="1" applyAlignment="1">
      <alignment vertical="center"/>
    </xf>
    <xf numFmtId="176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20" fontId="0" fillId="0" borderId="0" xfId="0" applyNumberFormat="1" applyAlignment="1">
      <alignment horizontal="centerContinuous"/>
    </xf>
    <xf numFmtId="185" fontId="10" fillId="4" borderId="5" xfId="0" applyNumberFormat="1" applyFont="1" applyFill="1" applyBorder="1" applyAlignment="1">
      <alignment vertical="center"/>
    </xf>
    <xf numFmtId="180" fontId="0" fillId="0" borderId="17" xfId="0" applyNumberFormat="1" applyBorder="1" applyAlignment="1">
      <alignment horizontal="center"/>
    </xf>
    <xf numFmtId="182" fontId="1" fillId="0" borderId="0" xfId="1" applyNumberFormat="1" applyFont="1" applyFill="1" applyBorder="1" applyAlignment="1" applyProtection="1">
      <alignment horizontal="center" vertical="center"/>
      <protection locked="0"/>
    </xf>
    <xf numFmtId="183" fontId="1" fillId="0" borderId="0" xfId="0" applyNumberFormat="1" applyFont="1" applyAlignment="1" applyProtection="1">
      <alignment vertical="center"/>
      <protection locked="0"/>
    </xf>
    <xf numFmtId="0" fontId="0" fillId="0" borderId="0" xfId="0" applyAlignment="1">
      <alignment horizontal="right"/>
    </xf>
    <xf numFmtId="0" fontId="0" fillId="3" borderId="0" xfId="0" applyFill="1"/>
    <xf numFmtId="179" fontId="0" fillId="0" borderId="0" xfId="0" applyNumberFormat="1"/>
    <xf numFmtId="20" fontId="0" fillId="0" borderId="0" xfId="0" applyNumberFormat="1" applyAlignment="1">
      <alignment vertical="center"/>
    </xf>
    <xf numFmtId="176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Protection="1">
      <protection locked="0"/>
    </xf>
    <xf numFmtId="0" fontId="8" fillId="0" borderId="8" xfId="0" applyFont="1" applyBorder="1" applyProtection="1">
      <protection locked="0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Protection="1">
      <protection locked="0"/>
    </xf>
    <xf numFmtId="0" fontId="8" fillId="0" borderId="2" xfId="0" applyFont="1" applyBorder="1" applyProtection="1">
      <protection locked="0"/>
    </xf>
    <xf numFmtId="176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Protection="1">
      <protection locked="0"/>
    </xf>
    <xf numFmtId="0" fontId="8" fillId="0" borderId="6" xfId="0" applyFont="1" applyBorder="1" applyProtection="1">
      <protection locked="0"/>
    </xf>
    <xf numFmtId="20" fontId="8" fillId="2" borderId="9" xfId="0" applyNumberFormat="1" applyFont="1" applyFill="1" applyBorder="1" applyAlignment="1">
      <alignment horizontal="center" vertical="center" wrapText="1"/>
    </xf>
    <xf numFmtId="20" fontId="8" fillId="2" borderId="14" xfId="0" applyNumberFormat="1" applyFont="1" applyFill="1" applyBorder="1" applyAlignment="1">
      <alignment horizontal="center" vertical="center" wrapText="1"/>
    </xf>
    <xf numFmtId="186" fontId="10" fillId="0" borderId="1" xfId="0" applyNumberFormat="1" applyFont="1" applyBorder="1" applyAlignment="1" applyProtection="1">
      <alignment vertical="center"/>
      <protection locked="0"/>
    </xf>
    <xf numFmtId="187" fontId="10" fillId="4" borderId="16" xfId="0" applyNumberFormat="1" applyFont="1" applyFill="1" applyBorder="1" applyAlignment="1">
      <alignment horizontal="centerContinuous" vertical="center"/>
    </xf>
    <xf numFmtId="183" fontId="11" fillId="3" borderId="0" xfId="0" applyNumberFormat="1" applyFont="1" applyFill="1" applyAlignment="1" applyProtection="1">
      <alignment vertical="center"/>
      <protection locked="0"/>
    </xf>
    <xf numFmtId="181" fontId="8" fillId="0" borderId="18" xfId="0" applyNumberFormat="1" applyFont="1" applyBorder="1" applyAlignment="1">
      <alignment horizontal="center" vertical="center"/>
    </xf>
    <xf numFmtId="181" fontId="8" fillId="0" borderId="21" xfId="0" applyNumberFormat="1" applyFont="1" applyBorder="1" applyAlignment="1">
      <alignment horizontal="center" vertical="center"/>
    </xf>
    <xf numFmtId="181" fontId="8" fillId="0" borderId="22" xfId="0" applyNumberFormat="1" applyFont="1" applyBorder="1" applyAlignment="1">
      <alignment horizontal="center" vertical="center"/>
    </xf>
    <xf numFmtId="186" fontId="10" fillId="0" borderId="3" xfId="0" applyNumberFormat="1" applyFont="1" applyBorder="1" applyAlignment="1" applyProtection="1">
      <alignment vertical="center"/>
      <protection locked="0"/>
    </xf>
    <xf numFmtId="176" fontId="8" fillId="3" borderId="14" xfId="0" applyNumberFormat="1" applyFont="1" applyFill="1" applyBorder="1" applyAlignment="1">
      <alignment horizontal="center" vertical="center" shrinkToFi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177" fontId="8" fillId="2" borderId="9" xfId="0" applyNumberFormat="1" applyFont="1" applyFill="1" applyBorder="1" applyAlignment="1">
      <alignment horizontal="center" vertical="center" wrapText="1"/>
    </xf>
    <xf numFmtId="177" fontId="8" fillId="2" borderId="14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178" fontId="4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182" fontId="11" fillId="3" borderId="0" xfId="1" applyNumberFormat="1" applyFont="1" applyFill="1" applyBorder="1" applyAlignment="1" applyProtection="1">
      <alignment horizontal="center" vertical="center"/>
      <protection locked="0"/>
    </xf>
    <xf numFmtId="182" fontId="2" fillId="0" borderId="0" xfId="1" applyNumberFormat="1" applyFont="1" applyFill="1" applyBorder="1" applyAlignment="1" applyProtection="1">
      <alignment horizontal="right"/>
      <protection locked="0"/>
    </xf>
    <xf numFmtId="183" fontId="0" fillId="3" borderId="0" xfId="0" applyNumberFormat="1" applyFill="1" applyAlignment="1" applyProtection="1">
      <protection locked="0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76" fontId="8" fillId="2" borderId="9" xfId="0" applyNumberFormat="1" applyFont="1" applyFill="1" applyBorder="1" applyAlignment="1">
      <alignment horizontal="center" vertical="center" wrapText="1"/>
    </xf>
    <xf numFmtId="176" fontId="8" fillId="2" borderId="14" xfId="0" applyNumberFormat="1" applyFont="1" applyFill="1" applyBorder="1" applyAlignment="1">
      <alignment horizontal="center" vertical="center" wrapText="1"/>
    </xf>
    <xf numFmtId="20" fontId="8" fillId="2" borderId="10" xfId="0" applyNumberFormat="1" applyFont="1" applyFill="1" applyBorder="1" applyAlignment="1">
      <alignment horizontal="center" vertical="center" wrapText="1"/>
    </xf>
    <xf numFmtId="20" fontId="8" fillId="2" borderId="1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4">
    <dxf>
      <fill>
        <patternFill>
          <bgColor rgb="FFFF0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0BAA-9117-4E71-BA3C-BB7A87B26588}">
  <sheetPr>
    <pageSetUpPr fitToPage="1"/>
  </sheetPr>
  <dimension ref="A1:I48"/>
  <sheetViews>
    <sheetView tabSelected="1" zoomScaleNormal="100" workbookViewId="0">
      <selection sqref="A1:I1"/>
    </sheetView>
  </sheetViews>
  <sheetFormatPr defaultRowHeight="13.5" customHeight="1"/>
  <cols>
    <col min="1" max="1" width="5.7109375" customWidth="1"/>
    <col min="2" max="2" width="5.85546875" style="1" customWidth="1"/>
    <col min="3" max="3" width="8.85546875" style="2" customWidth="1"/>
    <col min="4" max="4" width="8.7109375" customWidth="1"/>
    <col min="5" max="5" width="8.7109375" style="4" customWidth="1"/>
    <col min="6" max="7" width="8.7109375" style="3" customWidth="1"/>
    <col min="8" max="8" width="15" customWidth="1"/>
    <col min="9" max="9" width="21.7109375" customWidth="1"/>
  </cols>
  <sheetData>
    <row r="1" spans="1:9" ht="41.25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</row>
    <row r="2" spans="1:9" ht="21.75" customHeight="1">
      <c r="A2" s="59">
        <v>2026</v>
      </c>
      <c r="B2" s="59"/>
      <c r="C2" s="40">
        <v>9</v>
      </c>
    </row>
    <row r="3" spans="1:9" ht="7.5" customHeight="1">
      <c r="A3" s="21"/>
      <c r="B3" s="21"/>
      <c r="C3" s="22"/>
    </row>
    <row r="4" spans="1:9" ht="22.5" customHeight="1">
      <c r="A4" s="60" t="s">
        <v>1</v>
      </c>
      <c r="B4" s="60"/>
      <c r="C4" s="61" t="s">
        <v>2</v>
      </c>
      <c r="D4" s="61"/>
      <c r="E4" s="61"/>
      <c r="F4" s="61"/>
      <c r="G4" s="61"/>
      <c r="H4" s="23" t="s">
        <v>3</v>
      </c>
      <c r="I4" s="24" t="s">
        <v>4</v>
      </c>
    </row>
    <row r="5" spans="1:9" ht="9" customHeight="1">
      <c r="A5" s="54"/>
      <c r="B5" s="54"/>
      <c r="C5" s="57"/>
      <c r="D5" s="58"/>
      <c r="E5" s="58"/>
      <c r="F5" s="58"/>
      <c r="G5" s="58"/>
      <c r="H5" s="55"/>
      <c r="I5" s="56"/>
    </row>
    <row r="6" spans="1:9" ht="18" customHeight="1">
      <c r="A6" s="62" t="s">
        <v>5</v>
      </c>
      <c r="B6" s="64" t="s">
        <v>6</v>
      </c>
      <c r="C6" s="36" t="s">
        <v>7</v>
      </c>
      <c r="D6" s="66" t="s">
        <v>8</v>
      </c>
      <c r="E6" s="67"/>
      <c r="F6" s="51" t="s">
        <v>9</v>
      </c>
      <c r="G6" s="51" t="s">
        <v>10</v>
      </c>
      <c r="H6" s="49" t="s">
        <v>11</v>
      </c>
      <c r="I6" s="47" t="s">
        <v>12</v>
      </c>
    </row>
    <row r="7" spans="1:9" ht="18" customHeight="1">
      <c r="A7" s="63"/>
      <c r="B7" s="65"/>
      <c r="C7" s="37" t="s">
        <v>13</v>
      </c>
      <c r="D7" s="37" t="s">
        <v>14</v>
      </c>
      <c r="E7" s="46" t="s">
        <v>15</v>
      </c>
      <c r="F7" s="52"/>
      <c r="G7" s="52"/>
      <c r="H7" s="50"/>
      <c r="I7" s="48"/>
    </row>
    <row r="8" spans="1:9" ht="18" customHeight="1">
      <c r="A8" s="41">
        <f>DATE($A$2,$C$2,1)</f>
        <v>46266</v>
      </c>
      <c r="B8" s="27" t="str">
        <f>TEXT(A8,"aaa")</f>
        <v>화</v>
      </c>
      <c r="C8" s="12" t="s">
        <v>16</v>
      </c>
      <c r="D8" s="13">
        <v>0.375</v>
      </c>
      <c r="E8" s="13">
        <v>0.78125</v>
      </c>
      <c r="F8" s="13">
        <v>5.2083333333333336E-2</v>
      </c>
      <c r="G8" s="38">
        <f>MOD(E8-D8,1)-F8</f>
        <v>0.35416666666666669</v>
      </c>
      <c r="H8" s="28"/>
      <c r="I8" s="29"/>
    </row>
    <row r="9" spans="1:9" ht="18" customHeight="1">
      <c r="A9" s="42">
        <f>A8+1</f>
        <v>46267</v>
      </c>
      <c r="B9" s="30" t="str">
        <f t="shared" ref="B9:B38" si="0">TEXT(A9,"aaa")</f>
        <v>수</v>
      </c>
      <c r="C9" s="12" t="s">
        <v>16</v>
      </c>
      <c r="D9" s="13">
        <v>0.375</v>
      </c>
      <c r="E9" s="13">
        <v>0.73958333333333337</v>
      </c>
      <c r="F9" s="13">
        <v>3.125E-2</v>
      </c>
      <c r="G9" s="38">
        <f t="shared" ref="G9:G38" si="1">MOD(E9-D9,1)-F9</f>
        <v>0.33333333333333337</v>
      </c>
      <c r="H9" s="31"/>
      <c r="I9" s="32"/>
    </row>
    <row r="10" spans="1:9" ht="18" customHeight="1">
      <c r="A10" s="42">
        <f t="shared" ref="A10:A35" si="2">A9+1</f>
        <v>46268</v>
      </c>
      <c r="B10" s="30" t="str">
        <f t="shared" si="0"/>
        <v>목</v>
      </c>
      <c r="C10" s="12" t="s">
        <v>16</v>
      </c>
      <c r="D10" s="13">
        <v>0.375</v>
      </c>
      <c r="E10" s="13">
        <v>0.77083333333333337</v>
      </c>
      <c r="F10" s="13">
        <v>5.2083333333333336E-2</v>
      </c>
      <c r="G10" s="38">
        <f>MOD(E10-D10,1)-F10</f>
        <v>0.34375000000000006</v>
      </c>
      <c r="H10" s="31"/>
      <c r="I10" s="32"/>
    </row>
    <row r="11" spans="1:9" ht="18" customHeight="1">
      <c r="A11" s="42">
        <f t="shared" si="2"/>
        <v>46269</v>
      </c>
      <c r="B11" s="30" t="str">
        <f t="shared" si="0"/>
        <v>금</v>
      </c>
      <c r="C11" s="12" t="s">
        <v>16</v>
      </c>
      <c r="D11" s="13">
        <v>0.375</v>
      </c>
      <c r="E11" s="13">
        <v>0.73958333333333337</v>
      </c>
      <c r="F11" s="13">
        <v>3.125E-2</v>
      </c>
      <c r="G11" s="38">
        <f t="shared" si="1"/>
        <v>0.33333333333333337</v>
      </c>
      <c r="H11" s="31"/>
      <c r="I11" s="32"/>
    </row>
    <row r="12" spans="1:9" ht="18" customHeight="1">
      <c r="A12" s="42">
        <f t="shared" si="2"/>
        <v>46270</v>
      </c>
      <c r="B12" s="30" t="str">
        <f t="shared" si="0"/>
        <v>토</v>
      </c>
      <c r="C12" s="12" t="s">
        <v>17</v>
      </c>
      <c r="D12" s="13"/>
      <c r="E12" s="13"/>
      <c r="F12" s="13"/>
      <c r="G12" s="38">
        <f t="shared" si="1"/>
        <v>0</v>
      </c>
      <c r="H12" s="31"/>
      <c r="I12" s="32"/>
    </row>
    <row r="13" spans="1:9" ht="18" customHeight="1">
      <c r="A13" s="42">
        <f t="shared" si="2"/>
        <v>46271</v>
      </c>
      <c r="B13" s="30" t="str">
        <f t="shared" si="0"/>
        <v>일</v>
      </c>
      <c r="C13" s="12" t="s">
        <v>17</v>
      </c>
      <c r="D13" s="13"/>
      <c r="E13" s="13"/>
      <c r="F13" s="13"/>
      <c r="G13" s="38">
        <f t="shared" si="1"/>
        <v>0</v>
      </c>
      <c r="H13" s="31"/>
      <c r="I13" s="32"/>
    </row>
    <row r="14" spans="1:9" ht="18" customHeight="1">
      <c r="A14" s="42">
        <f t="shared" si="2"/>
        <v>46272</v>
      </c>
      <c r="B14" s="30" t="str">
        <f t="shared" si="0"/>
        <v>월</v>
      </c>
      <c r="C14" s="12" t="s">
        <v>16</v>
      </c>
      <c r="D14" s="13">
        <v>0.375</v>
      </c>
      <c r="E14" s="13">
        <v>0.78125</v>
      </c>
      <c r="F14" s="13">
        <v>5.2083333333333336E-2</v>
      </c>
      <c r="G14" s="38">
        <f t="shared" si="1"/>
        <v>0.35416666666666669</v>
      </c>
      <c r="H14" s="31"/>
      <c r="I14" s="32"/>
    </row>
    <row r="15" spans="1:9" ht="18" customHeight="1">
      <c r="A15" s="42">
        <f t="shared" si="2"/>
        <v>46273</v>
      </c>
      <c r="B15" s="30" t="str">
        <f t="shared" si="0"/>
        <v>화</v>
      </c>
      <c r="C15" s="12" t="s">
        <v>16</v>
      </c>
      <c r="D15" s="13">
        <v>0.375</v>
      </c>
      <c r="E15" s="13">
        <v>0.77083333333333337</v>
      </c>
      <c r="F15" s="13">
        <v>5.2083333333333336E-2</v>
      </c>
      <c r="G15" s="38">
        <f t="shared" si="1"/>
        <v>0.34375000000000006</v>
      </c>
      <c r="H15" s="31"/>
      <c r="I15" s="32"/>
    </row>
    <row r="16" spans="1:9" ht="18" customHeight="1">
      <c r="A16" s="42">
        <f t="shared" si="2"/>
        <v>46274</v>
      </c>
      <c r="B16" s="30" t="str">
        <f t="shared" si="0"/>
        <v>수</v>
      </c>
      <c r="C16" s="12" t="s">
        <v>16</v>
      </c>
      <c r="D16" s="13">
        <v>0.375</v>
      </c>
      <c r="E16" s="13">
        <v>0.73958333333333337</v>
      </c>
      <c r="F16" s="13">
        <v>3.125E-2</v>
      </c>
      <c r="G16" s="38">
        <f t="shared" si="1"/>
        <v>0.33333333333333337</v>
      </c>
      <c r="H16" s="31"/>
      <c r="I16" s="32"/>
    </row>
    <row r="17" spans="1:9" ht="18" customHeight="1">
      <c r="A17" s="42">
        <f t="shared" si="2"/>
        <v>46275</v>
      </c>
      <c r="B17" s="30" t="str">
        <f t="shared" si="0"/>
        <v>목</v>
      </c>
      <c r="C17" s="12" t="s">
        <v>16</v>
      </c>
      <c r="D17" s="13">
        <v>0.375</v>
      </c>
      <c r="E17" s="13">
        <v>0.73958333333333337</v>
      </c>
      <c r="F17" s="13">
        <v>3.125E-2</v>
      </c>
      <c r="G17" s="38">
        <f t="shared" si="1"/>
        <v>0.33333333333333337</v>
      </c>
      <c r="H17" s="31"/>
      <c r="I17" s="32"/>
    </row>
    <row r="18" spans="1:9" ht="18" customHeight="1">
      <c r="A18" s="42">
        <f t="shared" si="2"/>
        <v>46276</v>
      </c>
      <c r="B18" s="30" t="str">
        <f t="shared" si="0"/>
        <v>금</v>
      </c>
      <c r="C18" s="12" t="s">
        <v>16</v>
      </c>
      <c r="D18" s="13">
        <v>0.375</v>
      </c>
      <c r="E18" s="13">
        <v>0.77083333333333337</v>
      </c>
      <c r="F18" s="13">
        <v>5.2083333333333336E-2</v>
      </c>
      <c r="G18" s="38">
        <f t="shared" si="1"/>
        <v>0.34375000000000006</v>
      </c>
      <c r="H18" s="31"/>
      <c r="I18" s="32"/>
    </row>
    <row r="19" spans="1:9" ht="18" customHeight="1">
      <c r="A19" s="42">
        <f t="shared" si="2"/>
        <v>46277</v>
      </c>
      <c r="B19" s="30" t="str">
        <f t="shared" si="0"/>
        <v>토</v>
      </c>
      <c r="C19" s="12" t="s">
        <v>17</v>
      </c>
      <c r="D19" s="13"/>
      <c r="E19" s="13"/>
      <c r="F19" s="13"/>
      <c r="G19" s="38">
        <f t="shared" si="1"/>
        <v>0</v>
      </c>
      <c r="H19" s="31"/>
      <c r="I19" s="32"/>
    </row>
    <row r="20" spans="1:9" ht="18" customHeight="1">
      <c r="A20" s="42">
        <f t="shared" si="2"/>
        <v>46278</v>
      </c>
      <c r="B20" s="30" t="str">
        <f t="shared" si="0"/>
        <v>일</v>
      </c>
      <c r="C20" s="12" t="s">
        <v>17</v>
      </c>
      <c r="D20" s="13"/>
      <c r="E20" s="13"/>
      <c r="F20" s="13"/>
      <c r="G20" s="38">
        <f t="shared" si="1"/>
        <v>0</v>
      </c>
      <c r="H20" s="31"/>
      <c r="I20" s="32"/>
    </row>
    <row r="21" spans="1:9" ht="18" customHeight="1">
      <c r="A21" s="42">
        <f t="shared" si="2"/>
        <v>46279</v>
      </c>
      <c r="B21" s="30" t="str">
        <f t="shared" si="0"/>
        <v>월</v>
      </c>
      <c r="C21" s="12" t="s">
        <v>18</v>
      </c>
      <c r="D21" s="13">
        <v>0.375</v>
      </c>
      <c r="E21" s="13">
        <v>0.75</v>
      </c>
      <c r="F21" s="13">
        <v>4.1666666666666664E-2</v>
      </c>
      <c r="G21" s="38">
        <f t="shared" si="1"/>
        <v>0.33333333333333331</v>
      </c>
      <c r="H21" s="31"/>
      <c r="I21" s="32"/>
    </row>
    <row r="22" spans="1:9" ht="18" customHeight="1">
      <c r="A22" s="42">
        <f t="shared" si="2"/>
        <v>46280</v>
      </c>
      <c r="B22" s="30" t="str">
        <f t="shared" si="0"/>
        <v>화</v>
      </c>
      <c r="C22" s="12" t="s">
        <v>18</v>
      </c>
      <c r="D22" s="13">
        <v>0.375</v>
      </c>
      <c r="E22" s="13">
        <v>0.73958333333333337</v>
      </c>
      <c r="F22" s="13">
        <v>3.125E-2</v>
      </c>
      <c r="G22" s="38">
        <f t="shared" si="1"/>
        <v>0.33333333333333337</v>
      </c>
      <c r="H22" s="31"/>
      <c r="I22" s="32"/>
    </row>
    <row r="23" spans="1:9" ht="18" customHeight="1">
      <c r="A23" s="42">
        <f t="shared" si="2"/>
        <v>46281</v>
      </c>
      <c r="B23" s="30" t="str">
        <f t="shared" si="0"/>
        <v>수</v>
      </c>
      <c r="C23" s="12" t="s">
        <v>17</v>
      </c>
      <c r="D23" s="13"/>
      <c r="E23" s="13"/>
      <c r="F23" s="13"/>
      <c r="G23" s="38">
        <f t="shared" si="1"/>
        <v>0</v>
      </c>
      <c r="H23" s="31"/>
      <c r="I23" s="32" t="s">
        <v>19</v>
      </c>
    </row>
    <row r="24" spans="1:9" ht="18" customHeight="1">
      <c r="A24" s="42">
        <f t="shared" si="2"/>
        <v>46282</v>
      </c>
      <c r="B24" s="30" t="str">
        <f t="shared" si="0"/>
        <v>목</v>
      </c>
      <c r="C24" s="12" t="s">
        <v>16</v>
      </c>
      <c r="D24" s="13">
        <v>0.375</v>
      </c>
      <c r="E24" s="13">
        <v>0.75</v>
      </c>
      <c r="F24" s="13">
        <v>4.1666666666666664E-2</v>
      </c>
      <c r="G24" s="38">
        <f t="shared" si="1"/>
        <v>0.33333333333333331</v>
      </c>
      <c r="H24" s="31"/>
      <c r="I24" s="32"/>
    </row>
    <row r="25" spans="1:9" ht="18" customHeight="1">
      <c r="A25" s="42">
        <f t="shared" si="2"/>
        <v>46283</v>
      </c>
      <c r="B25" s="30" t="str">
        <f t="shared" si="0"/>
        <v>금</v>
      </c>
      <c r="C25" s="12" t="s">
        <v>16</v>
      </c>
      <c r="D25" s="13">
        <v>0.375</v>
      </c>
      <c r="E25" s="13">
        <v>0.75</v>
      </c>
      <c r="F25" s="13">
        <v>4.1666666666666664E-2</v>
      </c>
      <c r="G25" s="38">
        <f t="shared" si="1"/>
        <v>0.33333333333333331</v>
      </c>
      <c r="H25" s="31"/>
      <c r="I25" s="32"/>
    </row>
    <row r="26" spans="1:9" ht="18" customHeight="1">
      <c r="A26" s="42">
        <f t="shared" si="2"/>
        <v>46284</v>
      </c>
      <c r="B26" s="30" t="str">
        <f t="shared" si="0"/>
        <v>토</v>
      </c>
      <c r="C26" s="12" t="s">
        <v>17</v>
      </c>
      <c r="D26" s="13"/>
      <c r="E26" s="13"/>
      <c r="F26" s="13"/>
      <c r="G26" s="38">
        <f t="shared" si="1"/>
        <v>0</v>
      </c>
      <c r="H26" s="31"/>
      <c r="I26" s="32"/>
    </row>
    <row r="27" spans="1:9" ht="18" customHeight="1">
      <c r="A27" s="42">
        <f t="shared" si="2"/>
        <v>46285</v>
      </c>
      <c r="B27" s="30" t="str">
        <f t="shared" si="0"/>
        <v>일</v>
      </c>
      <c r="C27" s="12" t="s">
        <v>17</v>
      </c>
      <c r="D27" s="13"/>
      <c r="E27" s="13"/>
      <c r="F27" s="13"/>
      <c r="G27" s="38">
        <f t="shared" si="1"/>
        <v>0</v>
      </c>
      <c r="H27" s="31"/>
      <c r="I27" s="32"/>
    </row>
    <row r="28" spans="1:9" ht="18" customHeight="1">
      <c r="A28" s="42">
        <f t="shared" si="2"/>
        <v>46286</v>
      </c>
      <c r="B28" s="30" t="str">
        <f t="shared" si="0"/>
        <v>월</v>
      </c>
      <c r="C28" s="12" t="s">
        <v>17</v>
      </c>
      <c r="D28" s="13"/>
      <c r="E28" s="13"/>
      <c r="F28" s="13"/>
      <c r="G28" s="38">
        <f t="shared" si="1"/>
        <v>0</v>
      </c>
      <c r="H28" s="31"/>
      <c r="I28" s="32" t="s">
        <v>20</v>
      </c>
    </row>
    <row r="29" spans="1:9" ht="18" customHeight="1">
      <c r="A29" s="42">
        <f t="shared" si="2"/>
        <v>46287</v>
      </c>
      <c r="B29" s="30" t="str">
        <f t="shared" si="0"/>
        <v>화</v>
      </c>
      <c r="C29" s="12" t="s">
        <v>17</v>
      </c>
      <c r="D29" s="13"/>
      <c r="E29" s="13"/>
      <c r="F29" s="13"/>
      <c r="G29" s="38">
        <f t="shared" si="1"/>
        <v>0</v>
      </c>
      <c r="H29" s="31"/>
      <c r="I29" s="32" t="s">
        <v>20</v>
      </c>
    </row>
    <row r="30" spans="1:9" ht="18" customHeight="1">
      <c r="A30" s="42">
        <f t="shared" si="2"/>
        <v>46288</v>
      </c>
      <c r="B30" s="30" t="str">
        <f t="shared" si="0"/>
        <v>수</v>
      </c>
      <c r="C30" s="12" t="s">
        <v>17</v>
      </c>
      <c r="D30" s="13"/>
      <c r="E30" s="13"/>
      <c r="F30" s="13"/>
      <c r="G30" s="38">
        <f t="shared" si="1"/>
        <v>0</v>
      </c>
      <c r="H30" s="31"/>
      <c r="I30" s="32" t="s">
        <v>20</v>
      </c>
    </row>
    <row r="31" spans="1:9" ht="18" customHeight="1">
      <c r="A31" s="42">
        <f t="shared" si="2"/>
        <v>46289</v>
      </c>
      <c r="B31" s="30" t="str">
        <f t="shared" si="0"/>
        <v>목</v>
      </c>
      <c r="C31" s="12" t="s">
        <v>16</v>
      </c>
      <c r="D31" s="13">
        <v>0.375</v>
      </c>
      <c r="E31" s="13">
        <v>0.8125</v>
      </c>
      <c r="F31" s="13">
        <v>5.2083333333333336E-2</v>
      </c>
      <c r="G31" s="38">
        <f t="shared" si="1"/>
        <v>0.38541666666666669</v>
      </c>
      <c r="H31" s="31"/>
      <c r="I31" s="32"/>
    </row>
    <row r="32" spans="1:9" ht="18" customHeight="1">
      <c r="A32" s="42">
        <f t="shared" si="2"/>
        <v>46290</v>
      </c>
      <c r="B32" s="30" t="str">
        <f t="shared" si="0"/>
        <v>금</v>
      </c>
      <c r="C32" s="12" t="s">
        <v>16</v>
      </c>
      <c r="D32" s="13">
        <v>0.375</v>
      </c>
      <c r="E32" s="13">
        <v>0.8125</v>
      </c>
      <c r="F32" s="13">
        <v>5.2083333333333336E-2</v>
      </c>
      <c r="G32" s="38">
        <f t="shared" si="1"/>
        <v>0.38541666666666669</v>
      </c>
      <c r="H32" s="31"/>
      <c r="I32" s="32"/>
    </row>
    <row r="33" spans="1:9" ht="18" customHeight="1">
      <c r="A33" s="42">
        <f t="shared" si="2"/>
        <v>46291</v>
      </c>
      <c r="B33" s="30" t="str">
        <f t="shared" si="0"/>
        <v>토</v>
      </c>
      <c r="C33" s="12" t="s">
        <v>17</v>
      </c>
      <c r="D33" s="13"/>
      <c r="E33" s="13"/>
      <c r="F33" s="13"/>
      <c r="G33" s="38">
        <f t="shared" si="1"/>
        <v>0</v>
      </c>
      <c r="H33" s="31"/>
      <c r="I33" s="32"/>
    </row>
    <row r="34" spans="1:9" ht="18" customHeight="1">
      <c r="A34" s="42">
        <f t="shared" si="2"/>
        <v>46292</v>
      </c>
      <c r="B34" s="30" t="str">
        <f t="shared" si="0"/>
        <v>일</v>
      </c>
      <c r="C34" s="12" t="s">
        <v>17</v>
      </c>
      <c r="D34" s="13"/>
      <c r="E34" s="13"/>
      <c r="F34" s="13"/>
      <c r="G34" s="38">
        <f t="shared" si="1"/>
        <v>0</v>
      </c>
      <c r="H34" s="31"/>
      <c r="I34" s="32"/>
    </row>
    <row r="35" spans="1:9" ht="18" customHeight="1">
      <c r="A35" s="42">
        <f t="shared" si="2"/>
        <v>46293</v>
      </c>
      <c r="B35" s="30" t="str">
        <f t="shared" si="0"/>
        <v>월</v>
      </c>
      <c r="C35" s="12" t="s">
        <v>16</v>
      </c>
      <c r="D35" s="13">
        <v>0.375</v>
      </c>
      <c r="E35" s="13">
        <v>0.8125</v>
      </c>
      <c r="F35" s="13">
        <v>5.2083333333333336E-2</v>
      </c>
      <c r="G35" s="38">
        <f t="shared" si="1"/>
        <v>0.38541666666666669</v>
      </c>
      <c r="H35" s="31"/>
      <c r="I35" s="32"/>
    </row>
    <row r="36" spans="1:9" ht="18" customHeight="1">
      <c r="A36" s="42">
        <f>IF(MONTH(A35+1)=C2,A35+1,"")</f>
        <v>46294</v>
      </c>
      <c r="B36" s="30" t="str">
        <f t="shared" si="0"/>
        <v>화</v>
      </c>
      <c r="C36" s="12" t="s">
        <v>16</v>
      </c>
      <c r="D36" s="13">
        <v>0.375</v>
      </c>
      <c r="E36" s="13">
        <v>0.79166666666666663</v>
      </c>
      <c r="F36" s="13">
        <v>5.2083333333333336E-2</v>
      </c>
      <c r="G36" s="38">
        <f t="shared" si="1"/>
        <v>0.36458333333333331</v>
      </c>
      <c r="H36" s="31"/>
      <c r="I36" s="32"/>
    </row>
    <row r="37" spans="1:9" ht="18" customHeight="1">
      <c r="A37" s="42">
        <f>IF(MONTH(A35+2)=C2,A35+2,"")</f>
        <v>46295</v>
      </c>
      <c r="B37" s="30" t="str">
        <f t="shared" si="0"/>
        <v>수</v>
      </c>
      <c r="C37" s="7" t="s">
        <v>16</v>
      </c>
      <c r="D37" s="13">
        <v>0.375</v>
      </c>
      <c r="E37" s="13">
        <v>0.79166666666666663</v>
      </c>
      <c r="F37" s="13">
        <v>5.2083333333333336E-2</v>
      </c>
      <c r="G37" s="38">
        <f t="shared" si="1"/>
        <v>0.36458333333333331</v>
      </c>
      <c r="H37" s="31"/>
      <c r="I37" s="32"/>
    </row>
    <row r="38" spans="1:9" ht="18" customHeight="1">
      <c r="A38" s="43" t="str">
        <f>IF(MONTH(A35+3)=C2,A35+3,"")</f>
        <v/>
      </c>
      <c r="B38" s="33" t="str">
        <f t="shared" si="0"/>
        <v/>
      </c>
      <c r="C38" s="45"/>
      <c r="D38" s="14"/>
      <c r="E38" s="14"/>
      <c r="F38" s="14"/>
      <c r="G38" s="44">
        <f t="shared" si="1"/>
        <v>0</v>
      </c>
      <c r="H38" s="34"/>
      <c r="I38" s="35"/>
    </row>
    <row r="39" spans="1:9" ht="18" customHeight="1">
      <c r="A39" s="16"/>
      <c r="B39" s="17"/>
      <c r="C39" s="18"/>
      <c r="D39" s="15"/>
      <c r="E39" s="25"/>
      <c r="F39" s="25"/>
      <c r="G39" s="19">
        <f t="shared" ref="G39" si="3">SUM(G8:G38)</f>
        <v>6.2916666666666679</v>
      </c>
      <c r="H39" s="39">
        <f>G39*24</f>
        <v>151.00000000000003</v>
      </c>
      <c r="I39" s="20"/>
    </row>
    <row r="41" spans="1:9">
      <c r="C41" s="5"/>
      <c r="D41" s="26"/>
      <c r="E41" s="26"/>
      <c r="G41" s="8"/>
      <c r="H41" s="8"/>
      <c r="I41" s="9" t="s">
        <v>21</v>
      </c>
    </row>
    <row r="42" spans="1:9">
      <c r="H42" s="3"/>
      <c r="I42" s="10"/>
    </row>
    <row r="43" spans="1:9">
      <c r="H43" s="3"/>
      <c r="I43" s="10"/>
    </row>
    <row r="44" spans="1:9">
      <c r="H44" s="3"/>
      <c r="I44" s="10"/>
    </row>
    <row r="45" spans="1:9">
      <c r="H45" s="3"/>
      <c r="I45" s="10"/>
    </row>
    <row r="46" spans="1:9">
      <c r="H46" s="3"/>
      <c r="I46" s="10"/>
    </row>
    <row r="47" spans="1:9">
      <c r="H47" s="3"/>
      <c r="I47" s="11"/>
    </row>
    <row r="48" spans="1:9">
      <c r="I48" s="6" t="s">
        <v>22</v>
      </c>
    </row>
  </sheetData>
  <mergeCells count="14">
    <mergeCell ref="I6:I7"/>
    <mergeCell ref="H6:H7"/>
    <mergeCell ref="G6:G7"/>
    <mergeCell ref="A1:I1"/>
    <mergeCell ref="A5:B5"/>
    <mergeCell ref="H5:I5"/>
    <mergeCell ref="C5:G5"/>
    <mergeCell ref="A2:B2"/>
    <mergeCell ref="A4:B4"/>
    <mergeCell ref="C4:G4"/>
    <mergeCell ref="A6:A7"/>
    <mergeCell ref="B6:B7"/>
    <mergeCell ref="F6:F7"/>
    <mergeCell ref="D6:E6"/>
  </mergeCells>
  <phoneticPr fontId="3"/>
  <conditionalFormatting sqref="B8:B38">
    <cfRule type="containsText" dxfId="3" priority="39" stopIfTrue="1" operator="containsText" text="土">
      <formula>NOT(ISERROR(SEARCH("土",B8)))</formula>
    </cfRule>
    <cfRule type="containsText" dxfId="2" priority="40" stopIfTrue="1" operator="containsText" text="日">
      <formula>NOT(ISERROR(SEARCH("日",B8)))</formula>
    </cfRule>
  </conditionalFormatting>
  <conditionalFormatting sqref="C8:C38">
    <cfRule type="cellIs" dxfId="1" priority="1" stopIfTrue="1" operator="equal">
      <formula>"休日"</formula>
    </cfRule>
  </conditionalFormatting>
  <conditionalFormatting sqref="D8:G38">
    <cfRule type="expression" dxfId="0" priority="8">
      <formula>OR( AND($G8&gt;TIME(6,0,0),$G8&lt;=TIME(8,0,0),$F8&lt;TIME(0,45,0)), AND($G8&gt;TIME(8,0,0),$F8&lt;TIME(1,0,0)) )</formula>
    </cfRule>
  </conditionalFormatting>
  <dataValidations count="1">
    <dataValidation type="list" allowBlank="1" showInputMessage="1" showErrorMessage="1" sqref="C8:C38" xr:uid="{2F352A68-ACDA-4B4E-970D-12076B742F05}">
      <formula1>"出社,休出,休日"</formula1>
    </dataValidation>
  </dataValidations>
  <pageMargins left="0.62992125984251968" right="0.19685039370078741" top="0.6692913385826772" bottom="0.27559055118110237" header="0.59055118110236227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NCC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NCC</dc:creator>
  <cp:keywords/>
  <dc:description/>
  <cp:lastModifiedBy/>
  <cp:revision/>
  <dcterms:created xsi:type="dcterms:W3CDTF">1997-11-20T09:11:39Z</dcterms:created>
  <dcterms:modified xsi:type="dcterms:W3CDTF">2026-09-19T15:18:06Z</dcterms:modified>
  <cp:category/>
  <cp:contentStatus/>
</cp:coreProperties>
</file>