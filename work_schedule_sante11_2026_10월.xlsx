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　　休　　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name val="MS PGothic"/>
      <color rgb="00000000"/>
      <sz val="10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sz val="8"/>
    </font>
    <font>
      <name val="MS PGothic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164" fontId="8" fillId="2" borderId="0" applyAlignment="1" pivotButton="0" quotePrefix="0" xfId="0">
      <alignment horizontal="center" vertical="center"/>
    </xf>
    <xf numFmtId="0" fontId="6" fillId="2" borderId="0" pivotButton="0" quotePrefix="0" xfId="0"/>
    <xf numFmtId="165" fontId="8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2" pivotButton="0" quotePrefix="0" xfId="0"/>
    <xf numFmtId="168" fontId="6" fillId="2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9" fillId="0" borderId="0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.14" customWidth="1" min="3" max="3"/>
    <col width="8.140000000000001" customWidth="1" min="4" max="4"/>
    <col width="8" customWidth="1" min="5" max="5"/>
    <col width="8" customWidth="1" min="6" max="6"/>
    <col width="8" customWidth="1" min="7" max="7"/>
    <col width="14.29" customWidth="1" min="8" max="8"/>
    <col width="21" customWidth="1" min="9" max="9"/>
  </cols>
  <sheetData>
    <row r="1" ht="41.25" customHeight="1">
      <c r="A1" s="1" t="inlineStr">
        <is>
          <t>勤　　休　　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sante11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3">
        <f>MOD(E8-D8,1)-F8</f>
        <v/>
      </c>
      <c r="H8" s="14" t="inlineStr"/>
      <c r="I8" s="14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3">
        <f>MOD(E9-D9,1)-F9</f>
        <v/>
      </c>
      <c r="H9" s="14" t="inlineStr"/>
      <c r="I9" s="14" t="inlineStr"/>
    </row>
    <row r="10" ht="18" customHeight="1">
      <c r="A10" s="9">
        <f>DATE($A$2,$C$2,3)</f>
        <v/>
      </c>
      <c r="B10" s="15">
        <f>TEXT(A10,"aaa")</f>
        <v/>
      </c>
      <c r="C10" s="15" t="inlineStr">
        <is>
          <t>休日</t>
        </is>
      </c>
      <c r="D10" s="14" t="inlineStr"/>
      <c r="E10" s="14" t="inlineStr"/>
      <c r="F10" s="14" t="inlineStr"/>
      <c r="G10" s="13">
        <f>MOD(E10-D10,1)-F10</f>
        <v/>
      </c>
      <c r="H10" s="14" t="inlineStr"/>
      <c r="I10" s="14" t="inlineStr"/>
    </row>
    <row r="11" ht="18" customHeight="1">
      <c r="A11" s="9">
        <f>DATE($A$2,$C$2,4)</f>
        <v/>
      </c>
      <c r="B11" s="15">
        <f>TEXT(A11,"aaa")</f>
        <v/>
      </c>
      <c r="C11" s="15" t="inlineStr">
        <is>
          <t>休日</t>
        </is>
      </c>
      <c r="D11" s="14" t="inlineStr"/>
      <c r="E11" s="14" t="inlineStr"/>
      <c r="F11" s="14" t="inlineStr"/>
      <c r="G11" s="13">
        <f>MOD(E11-D11,1)-F11</f>
        <v/>
      </c>
      <c r="H11" s="14" t="inlineStr"/>
      <c r="I11" s="14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3">
        <f>MOD(E12-D12,1)-F12</f>
        <v/>
      </c>
      <c r="H12" s="14" t="inlineStr"/>
      <c r="I12" s="14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3">
        <f>MOD(E13-D13,1)-F13</f>
        <v/>
      </c>
      <c r="H13" s="14" t="inlineStr"/>
      <c r="I13" s="14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3">
        <f>MOD(E14-D14,1)-F14</f>
        <v/>
      </c>
      <c r="H14" s="14" t="inlineStr"/>
      <c r="I14" s="14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3">
        <f>MOD(E15-D15,1)-F15</f>
        <v/>
      </c>
      <c r="H15" s="14" t="inlineStr"/>
      <c r="I15" s="14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3">
        <f>MOD(E16-D16,1)-F16</f>
        <v/>
      </c>
      <c r="H16" s="14" t="inlineStr"/>
      <c r="I16" s="14" t="inlineStr"/>
    </row>
    <row r="17" ht="18" customHeight="1">
      <c r="A17" s="9">
        <f>DATE($A$2,$C$2,10)</f>
        <v/>
      </c>
      <c r="B17" s="15">
        <f>TEXT(A17,"aaa")</f>
        <v/>
      </c>
      <c r="C17" s="15" t="inlineStr">
        <is>
          <t>休日</t>
        </is>
      </c>
      <c r="D17" s="14" t="inlineStr"/>
      <c r="E17" s="14" t="inlineStr"/>
      <c r="F17" s="14" t="inlineStr"/>
      <c r="G17" s="13">
        <f>MOD(E17-D17,1)-F17</f>
        <v/>
      </c>
      <c r="H17" s="14" t="inlineStr"/>
      <c r="I17" s="14" t="inlineStr"/>
    </row>
    <row r="18" ht="18" customHeight="1">
      <c r="A18" s="9">
        <f>DATE($A$2,$C$2,11)</f>
        <v/>
      </c>
      <c r="B18" s="15">
        <f>TEXT(A18,"aaa")</f>
        <v/>
      </c>
      <c r="C18" s="15" t="inlineStr">
        <is>
          <t>休日</t>
        </is>
      </c>
      <c r="D18" s="14" t="inlineStr"/>
      <c r="E18" s="14" t="inlineStr"/>
      <c r="F18" s="14" t="inlineStr"/>
      <c r="G18" s="13">
        <f>MOD(E18-D18,1)-F18</f>
        <v/>
      </c>
      <c r="H18" s="14" t="inlineStr"/>
      <c r="I18" s="14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3">
        <f>MOD(E19-D19,1)-F19</f>
        <v/>
      </c>
      <c r="H19" s="14" t="inlineStr"/>
      <c r="I19" s="14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3">
        <f>MOD(E20-D20,1)-F20</f>
        <v/>
      </c>
      <c r="H20" s="14" t="inlineStr"/>
      <c r="I20" s="14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3">
        <f>MOD(E21-D21,1)-F21</f>
        <v/>
      </c>
      <c r="H21" s="14" t="inlineStr"/>
      <c r="I21" s="14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3">
        <f>MOD(E22-D22,1)-F22</f>
        <v/>
      </c>
      <c r="H22" s="14" t="inlineStr"/>
      <c r="I22" s="14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3">
        <f>MOD(E23-D23,1)-F23</f>
        <v/>
      </c>
      <c r="H23" s="14" t="inlineStr"/>
      <c r="I23" s="14" t="inlineStr"/>
    </row>
    <row r="24" ht="18" customHeight="1">
      <c r="A24" s="9">
        <f>DATE($A$2,$C$2,17)</f>
        <v/>
      </c>
      <c r="B24" s="15">
        <f>TEXT(A24,"aaa")</f>
        <v/>
      </c>
      <c r="C24" s="15" t="inlineStr">
        <is>
          <t>休日</t>
        </is>
      </c>
      <c r="D24" s="14" t="inlineStr"/>
      <c r="E24" s="14" t="inlineStr"/>
      <c r="F24" s="14" t="inlineStr"/>
      <c r="G24" s="13">
        <f>MOD(E24-D24,1)-F24</f>
        <v/>
      </c>
      <c r="H24" s="14" t="inlineStr"/>
      <c r="I24" s="14" t="inlineStr"/>
    </row>
    <row r="25" ht="18" customHeight="1">
      <c r="A25" s="9">
        <f>DATE($A$2,$C$2,18)</f>
        <v/>
      </c>
      <c r="B25" s="15">
        <f>TEXT(A25,"aaa")</f>
        <v/>
      </c>
      <c r="C25" s="15" t="inlineStr">
        <is>
          <t>休日</t>
        </is>
      </c>
      <c r="D25" s="14" t="inlineStr"/>
      <c r="E25" s="14" t="inlineStr"/>
      <c r="F25" s="14" t="inlineStr"/>
      <c r="G25" s="13">
        <f>MOD(E25-D25,1)-F25</f>
        <v/>
      </c>
      <c r="H25" s="14" t="inlineStr"/>
      <c r="I25" s="14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3">
        <f>MOD(E26-D26,1)-F26</f>
        <v/>
      </c>
      <c r="H26" s="14" t="inlineStr"/>
      <c r="I26" s="14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3">
        <f>MOD(E27-D27,1)-F27</f>
        <v/>
      </c>
      <c r="H27" s="14" t="inlineStr"/>
      <c r="I27" s="14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3">
        <f>MOD(E28-D28,1)-F28</f>
        <v/>
      </c>
      <c r="H28" s="14" t="inlineStr"/>
      <c r="I28" s="14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3">
        <f>MOD(E29-D29,1)-F29</f>
        <v/>
      </c>
      <c r="H29" s="14" t="inlineStr"/>
      <c r="I29" s="14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3">
        <f>MOD(E30-D30,1)-F30</f>
        <v/>
      </c>
      <c r="H30" s="14" t="inlineStr"/>
      <c r="I30" s="14" t="inlineStr"/>
    </row>
    <row r="31" ht="18" customHeight="1">
      <c r="A31" s="9">
        <f>DATE($A$2,$C$2,24)</f>
        <v/>
      </c>
      <c r="B31" s="15">
        <f>TEXT(A31,"aaa")</f>
        <v/>
      </c>
      <c r="C31" s="15" t="inlineStr">
        <is>
          <t>休日</t>
        </is>
      </c>
      <c r="D31" s="14" t="inlineStr"/>
      <c r="E31" s="14" t="inlineStr"/>
      <c r="F31" s="14" t="inlineStr"/>
      <c r="G31" s="13">
        <f>MOD(E31-D31,1)-F31</f>
        <v/>
      </c>
      <c r="H31" s="14" t="inlineStr"/>
      <c r="I31" s="14" t="inlineStr"/>
    </row>
    <row r="32" ht="18" customHeight="1">
      <c r="A32" s="9">
        <f>DATE($A$2,$C$2,25)</f>
        <v/>
      </c>
      <c r="B32" s="15">
        <f>TEXT(A32,"aaa")</f>
        <v/>
      </c>
      <c r="C32" s="15" t="inlineStr">
        <is>
          <t>休日</t>
        </is>
      </c>
      <c r="D32" s="14" t="inlineStr"/>
      <c r="E32" s="14" t="inlineStr"/>
      <c r="F32" s="14" t="inlineStr"/>
      <c r="G32" s="13">
        <f>MOD(E32-D32,1)-F32</f>
        <v/>
      </c>
      <c r="H32" s="14" t="inlineStr"/>
      <c r="I32" s="14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3">
        <f>MOD(E33-D33,1)-F33</f>
        <v/>
      </c>
      <c r="H33" s="14" t="inlineStr"/>
      <c r="I33" s="14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3">
        <f>MOD(E34-D34,1)-F34</f>
        <v/>
      </c>
      <c r="H34" s="14" t="inlineStr"/>
      <c r="I34" s="14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3">
        <f>MOD(E35-D35,1)-F35</f>
        <v/>
      </c>
      <c r="H35" s="14" t="inlineStr"/>
      <c r="I35" s="14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3">
        <f>MOD(E36-D36,1)-F36</f>
        <v/>
      </c>
      <c r="H36" s="14" t="inlineStr"/>
      <c r="I36" s="14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3">
        <f>MOD(E37-D37,1)-F37</f>
        <v/>
      </c>
      <c r="H37" s="14" t="inlineStr"/>
      <c r="I37" s="14" t="inlineStr"/>
    </row>
    <row r="38" ht="18" customHeight="1">
      <c r="A38" s="9">
        <f>DATE($A$2,$C$2,31)</f>
        <v/>
      </c>
      <c r="B38" s="15">
        <f>TEXT(A38,"aaa")</f>
        <v/>
      </c>
      <c r="C38" s="15" t="inlineStr">
        <is>
          <t>休日</t>
        </is>
      </c>
      <c r="D38" s="14" t="inlineStr"/>
      <c r="E38" s="14" t="inlineStr"/>
      <c r="F38" s="14" t="inlineStr"/>
      <c r="G38" s="13">
        <f>MOD(E38-D38,1)-F38</f>
        <v/>
      </c>
      <c r="H38" s="14" t="inlineStr"/>
      <c r="I38" s="14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2026-09-27T12:38:20Z</dcterms:created>
  <dcterms:modified xsi:type="dcterms:W3CDTF">2026-09-27T12:38:20Z</dcterms:modified>
</cp:coreProperties>
</file>